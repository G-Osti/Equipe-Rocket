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esktop\Equipe rocket\"/>
    </mc:Choice>
  </mc:AlternateContent>
  <xr:revisionPtr revIDLastSave="0" documentId="13_ncr:1_{50430F99-FC42-4738-9933-CF6315DBD9CA}" xr6:coauthVersionLast="45" xr6:coauthVersionMax="45" xr10:uidLastSave="{00000000-0000-0000-0000-000000000000}"/>
  <bookViews>
    <workbookView xWindow="-120" yWindow="-120" windowWidth="20730" windowHeight="11160" xr2:uid="{7A018932-5C35-4337-8838-92E7170913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C9" i="1"/>
  <c r="B9" i="1"/>
  <c r="B13" i="1" s="1"/>
  <c r="C13" i="1" l="1"/>
</calcChain>
</file>

<file path=xl/sharedStrings.xml><?xml version="1.0" encoding="utf-8"?>
<sst xmlns="http://schemas.openxmlformats.org/spreadsheetml/2006/main" count="16" uniqueCount="16">
  <si>
    <t>Componente</t>
  </si>
  <si>
    <t>Consumo (mA)</t>
  </si>
  <si>
    <t>BMP280</t>
  </si>
  <si>
    <t>HC-05</t>
  </si>
  <si>
    <t>ATMEGA328P-PU</t>
  </si>
  <si>
    <t>Consumo em 3,3V (mA)</t>
  </si>
  <si>
    <t>Consumo em 5V (mA)</t>
  </si>
  <si>
    <t>MG993</t>
  </si>
  <si>
    <t>LM393</t>
  </si>
  <si>
    <t>Total</t>
  </si>
  <si>
    <t>Bateria (mAh)</t>
  </si>
  <si>
    <t>Duração (horas)</t>
  </si>
  <si>
    <t>(Apenas durante um pico)</t>
  </si>
  <si>
    <t>LM7805</t>
  </si>
  <si>
    <t>LM1117</t>
  </si>
  <si>
    <t>Consumo reguladores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</si>
</sst>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CF40-220C-4B8B-9693-F60AC662E3B9}">
  <dimension ref="A1:D13"/>
  <sheetViews>
    <sheetView tabSelected="1" workbookViewId="0">
      <selection activeCell="D15" sqref="D15"/>
    </sheetView>
  </sheetViews>
  <sheetFormatPr defaultRowHeight="15" x14ac:dyDescent="0.25"/>
  <cols>
    <col min="1" max="1" width="22.140625" customWidth="1"/>
    <col min="2" max="2" width="22.5703125" customWidth="1"/>
    <col min="3" max="3" width="24.140625" customWidth="1"/>
    <col min="4" max="4" width="24.7109375" customWidth="1"/>
    <col min="5" max="5" width="19.7109375" customWidth="1"/>
    <col min="6" max="6" width="20.85546875" customWidth="1"/>
  </cols>
  <sheetData>
    <row r="1" spans="1:4" x14ac:dyDescent="0.25">
      <c r="A1" s="4" t="s">
        <v>0</v>
      </c>
      <c r="B1" s="4" t="s">
        <v>5</v>
      </c>
      <c r="C1" s="4" t="s">
        <v>6</v>
      </c>
      <c r="D1" s="4" t="s">
        <v>15</v>
      </c>
    </row>
    <row r="2" spans="1:4" x14ac:dyDescent="0.25">
      <c r="A2" s="2" t="s">
        <v>3</v>
      </c>
      <c r="B2" s="2">
        <v>35</v>
      </c>
      <c r="C2" s="2"/>
    </row>
    <row r="3" spans="1:4" x14ac:dyDescent="0.25">
      <c r="A3" s="2" t="s">
        <v>2</v>
      </c>
      <c r="B3" s="3">
        <v>2.7000000000000001E-3</v>
      </c>
      <c r="C3" s="2"/>
    </row>
    <row r="4" spans="1:4" x14ac:dyDescent="0.25">
      <c r="A4" s="2" t="s">
        <v>7</v>
      </c>
      <c r="C4" s="2">
        <v>364.58</v>
      </c>
      <c r="D4" s="2"/>
    </row>
    <row r="5" spans="1:4" x14ac:dyDescent="0.25">
      <c r="A5" s="2" t="s">
        <v>4</v>
      </c>
      <c r="B5" s="2">
        <v>250</v>
      </c>
      <c r="C5" s="2"/>
      <c r="D5" s="2"/>
    </row>
    <row r="6" spans="1:4" x14ac:dyDescent="0.25">
      <c r="A6" s="2" t="s">
        <v>8</v>
      </c>
      <c r="B6" s="2">
        <v>0.4</v>
      </c>
      <c r="D6" s="2"/>
    </row>
    <row r="7" spans="1:4" x14ac:dyDescent="0.25">
      <c r="A7" s="2" t="s">
        <v>13</v>
      </c>
      <c r="D7" s="2">
        <v>8</v>
      </c>
    </row>
    <row r="8" spans="1:4" x14ac:dyDescent="0.25">
      <c r="A8" s="2" t="s">
        <v>14</v>
      </c>
      <c r="D8" s="1">
        <v>10</v>
      </c>
    </row>
    <row r="9" spans="1:4" x14ac:dyDescent="0.25">
      <c r="A9" s="4" t="s">
        <v>9</v>
      </c>
      <c r="B9" s="2">
        <f>SUM(B2:B8)</f>
        <v>285.40269999999998</v>
      </c>
      <c r="C9" s="2">
        <f>SUM(C2:C8)</f>
        <v>364.58</v>
      </c>
      <c r="D9" s="1">
        <f>SUM(D7:D8)</f>
        <v>18</v>
      </c>
    </row>
    <row r="10" spans="1:4" x14ac:dyDescent="0.25">
      <c r="C10" s="1" t="s">
        <v>12</v>
      </c>
    </row>
    <row r="12" spans="1:4" x14ac:dyDescent="0.25">
      <c r="A12" s="4" t="s">
        <v>10</v>
      </c>
      <c r="B12" s="5" t="s">
        <v>1</v>
      </c>
      <c r="C12" s="4" t="s">
        <v>11</v>
      </c>
    </row>
    <row r="13" spans="1:4" x14ac:dyDescent="0.25">
      <c r="A13" s="1">
        <v>310</v>
      </c>
      <c r="B13" s="2">
        <f>SUM(B9,D9)</f>
        <v>303.40269999999998</v>
      </c>
      <c r="C13" s="2">
        <f>A13/B13</f>
        <v>1.0217443681285632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Osti</dc:creator>
  <cp:lastModifiedBy>Gustavo Osti</cp:lastModifiedBy>
  <dcterms:created xsi:type="dcterms:W3CDTF">2020-02-19T12:24:45Z</dcterms:created>
  <dcterms:modified xsi:type="dcterms:W3CDTF">2020-02-20T10:00:18Z</dcterms:modified>
</cp:coreProperties>
</file>